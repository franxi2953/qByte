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8_{75BCAD5B-4966-4696-94F9-48C5F7BA655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OM_Main_Main_PCB_2023-05-30" sheetId="1" r:id="rId1"/>
  </sheets>
  <calcPr calcId="181029"/>
</workbook>
</file>

<file path=xl/calcChain.xml><?xml version="1.0" encoding="utf-8"?>
<calcChain xmlns="http://schemas.openxmlformats.org/spreadsheetml/2006/main">
  <c r="N54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2" i="1"/>
  <c r="M17" i="1"/>
  <c r="N17" i="1" s="1"/>
  <c r="M16" i="1"/>
  <c r="N16" i="1" s="1"/>
  <c r="N23" i="1"/>
  <c r="N24" i="1"/>
  <c r="M7" i="1"/>
  <c r="N7" i="1" s="1"/>
  <c r="M10" i="1"/>
  <c r="N10" i="1" s="1"/>
  <c r="M21" i="1"/>
  <c r="N21" i="1" s="1"/>
  <c r="M23" i="1"/>
  <c r="M24" i="1"/>
  <c r="M25" i="1"/>
  <c r="N25" i="1" s="1"/>
  <c r="M27" i="1"/>
  <c r="N27" i="1" s="1"/>
  <c r="M28" i="1"/>
  <c r="N28" i="1" s="1"/>
  <c r="M29" i="1"/>
  <c r="N29" i="1" s="1"/>
  <c r="M30" i="1"/>
  <c r="N30" i="1" s="1"/>
  <c r="M32" i="1"/>
  <c r="N32" i="1" s="1"/>
  <c r="M36" i="1"/>
  <c r="N36" i="1" s="1"/>
  <c r="M37" i="1"/>
  <c r="N37" i="1" s="1"/>
  <c r="M38" i="1"/>
  <c r="N38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2" i="1"/>
  <c r="N2" i="1" s="1"/>
</calcChain>
</file>

<file path=xl/sharedStrings.xml><?xml version="1.0" encoding="utf-8"?>
<sst xmlns="http://schemas.openxmlformats.org/spreadsheetml/2006/main" count="655" uniqueCount="351">
  <si>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</si>
  <si>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</si>
  <si>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</si>
  <si>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</si>
  <si>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</si>
  <si>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</si>
  <si>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</si>
  <si>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</si>
  <si>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</si>
  <si>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</si>
  <si>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</si>
  <si>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LCSC Stock</t>
  </si>
  <si>
    <t>1</t>
  </si>
  <si>
    <t>1uF</t>
  </si>
  <si>
    <t>C1</t>
  </si>
  <si>
    <t>C0805</t>
  </si>
  <si>
    <t/>
  </si>
  <si>
    <t>0805B105K500NT</t>
  </si>
  <si>
    <t>Guangdong Fenghua Advanced Tech</t>
  </si>
  <si>
    <t>C215803</t>
  </si>
  <si>
    <t>LCSC</t>
  </si>
  <si>
    <t>0.0101</t>
  </si>
  <si>
    <t>1211514</t>
  </si>
  <si>
    <t>2</t>
  </si>
  <si>
    <t>10uF</t>
  </si>
  <si>
    <t>C2</t>
  </si>
  <si>
    <t>CL21A106KOQNNNE</t>
  </si>
  <si>
    <t>SAMSUNG</t>
  </si>
  <si>
    <t>C1713</t>
  </si>
  <si>
    <t>3</t>
  </si>
  <si>
    <t>CL05B104KO5NNNC</t>
  </si>
  <si>
    <t>C3,C15,C34</t>
  </si>
  <si>
    <t>C0402_NEW</t>
  </si>
  <si>
    <t>100nF</t>
  </si>
  <si>
    <t>SAMSUNG(三星)</t>
  </si>
  <si>
    <t>C1525</t>
  </si>
  <si>
    <t>4</t>
  </si>
  <si>
    <t>10uF_CAP-SMD_L3.2-W1.6-R-RD</t>
  </si>
  <si>
    <t>C7</t>
  </si>
  <si>
    <t>CAP-SMD_L3.2-W1.6-R-RD</t>
  </si>
  <si>
    <t>TAJA106K016RNJ</t>
  </si>
  <si>
    <t>AVX</t>
  </si>
  <si>
    <t>C7171</t>
  </si>
  <si>
    <t>5</t>
  </si>
  <si>
    <t>100nF_C0402(1)</t>
  </si>
  <si>
    <t>C9</t>
  </si>
  <si>
    <t>C0402</t>
  </si>
  <si>
    <t>CC0402KRX7R7BB104</t>
  </si>
  <si>
    <t>YAGEO</t>
  </si>
  <si>
    <t>C60474</t>
  </si>
  <si>
    <t>6</t>
  </si>
  <si>
    <t>CL10A106MA8NRNC</t>
  </si>
  <si>
    <t>C16,C38</t>
  </si>
  <si>
    <t>C0603</t>
  </si>
  <si>
    <t>C96446</t>
  </si>
  <si>
    <t>0.0237</t>
  </si>
  <si>
    <t>2118185</t>
  </si>
  <si>
    <t>7</t>
  </si>
  <si>
    <t>CC0603KRX7R9BB104</t>
  </si>
  <si>
    <t>C17</t>
  </si>
  <si>
    <t>YAGEO(国巨)</t>
  </si>
  <si>
    <t>C14663</t>
  </si>
  <si>
    <t>8</t>
  </si>
  <si>
    <t>CL21A226MAQNNNE_C45783</t>
  </si>
  <si>
    <t>C18,C19</t>
  </si>
  <si>
    <t>22uF</t>
  </si>
  <si>
    <t>CL21A226MAQNNNE</t>
  </si>
  <si>
    <t>C45783</t>
  </si>
  <si>
    <t>9</t>
  </si>
  <si>
    <t>100nF_C0402</t>
  </si>
  <si>
    <t>C25</t>
  </si>
  <si>
    <t>VJ0402G104KXQCW1BC</t>
  </si>
  <si>
    <t>Vishay Intertech</t>
  </si>
  <si>
    <t>C169292</t>
  </si>
  <si>
    <t>0.0063</t>
  </si>
  <si>
    <t>1134950</t>
  </si>
  <si>
    <t>10</t>
  </si>
  <si>
    <t>CL10A106KP8NNNC</t>
  </si>
  <si>
    <t>C26</t>
  </si>
  <si>
    <t>C19702</t>
  </si>
  <si>
    <t>11</t>
  </si>
  <si>
    <t>CL10C331JB8NNNC</t>
  </si>
  <si>
    <t>C35</t>
  </si>
  <si>
    <t>330pF</t>
  </si>
  <si>
    <t>C1664</t>
  </si>
  <si>
    <t>12</t>
  </si>
  <si>
    <t>CL21A476MQYNNNE</t>
  </si>
  <si>
    <t>C36</t>
  </si>
  <si>
    <t>47uF</t>
  </si>
  <si>
    <t>C16780</t>
  </si>
  <si>
    <t>13</t>
  </si>
  <si>
    <t>CL21B105KBFNNNE</t>
  </si>
  <si>
    <t>C37</t>
  </si>
  <si>
    <t>C28323</t>
  </si>
  <si>
    <t>14</t>
  </si>
  <si>
    <t>CL31A107MQHNNNE</t>
  </si>
  <si>
    <t>C39</t>
  </si>
  <si>
    <t>C1206</t>
  </si>
  <si>
    <t>100uF</t>
  </si>
  <si>
    <t>C15008</t>
  </si>
  <si>
    <t>15</t>
  </si>
  <si>
    <t>DF40C-40DP-0.4V(51)</t>
  </si>
  <si>
    <t>CN2,CN3</t>
  </si>
  <si>
    <t>CONN-SMD_DF40C-40DP-0.4V</t>
  </si>
  <si>
    <t>HRS(广濑)</t>
  </si>
  <si>
    <t>C424643</t>
  </si>
  <si>
    <t>16</t>
  </si>
  <si>
    <t>DF40C-40DS-0.4V(51)</t>
  </si>
  <si>
    <t>CN4</t>
  </si>
  <si>
    <t>CONN-SMD_DF40C-40DS-0.4V51</t>
  </si>
  <si>
    <t>C424644</t>
  </si>
  <si>
    <t>17</t>
  </si>
  <si>
    <t>BM22-4S-V(51)</t>
  </si>
  <si>
    <t>CN6</t>
  </si>
  <si>
    <t>CONN-SMD_BM22-4S-V-51</t>
  </si>
  <si>
    <t>C424630</t>
  </si>
  <si>
    <t>18</t>
  </si>
  <si>
    <t>YNR4030-4R7M</t>
  </si>
  <si>
    <t>L1</t>
  </si>
  <si>
    <t>IND-SMD_L4.0-W4.0</t>
  </si>
  <si>
    <t>4.7uH</t>
  </si>
  <si>
    <t>YJYCOIN(益嘉源)</t>
  </si>
  <si>
    <t>C340391</t>
  </si>
  <si>
    <t>19</t>
  </si>
  <si>
    <t>19-217/BHC-ZL1M2RY/3T</t>
  </si>
  <si>
    <t>LED1</t>
  </si>
  <si>
    <t>LED0603-R-RD</t>
  </si>
  <si>
    <t>EVERLIGHT</t>
  </si>
  <si>
    <t>C72041</t>
  </si>
  <si>
    <t>20</t>
  </si>
  <si>
    <t>19-217/Y5C-AM1N1VY/3T</t>
  </si>
  <si>
    <t>LED2</t>
  </si>
  <si>
    <t>Everlight Elec</t>
  </si>
  <si>
    <t>C282130</t>
  </si>
  <si>
    <t>0.0235</t>
  </si>
  <si>
    <t>48080</t>
  </si>
  <si>
    <t>21</t>
  </si>
  <si>
    <t>19-217/GHC-YR1S2/3T</t>
  </si>
  <si>
    <t>LED3</t>
  </si>
  <si>
    <t>C72043</t>
  </si>
  <si>
    <t>22</t>
  </si>
  <si>
    <t>99-213SUBP/S3019/TR8</t>
  </si>
  <si>
    <t>LED4,LED5,LED6,LED7,LED8,LED9,LED10,LED11</t>
  </si>
  <si>
    <t>LED-SMD_L2.5-W1.2-RD</t>
  </si>
  <si>
    <t>EVERLIGHT(台湾亿光)</t>
  </si>
  <si>
    <t>C264616</t>
  </si>
  <si>
    <t>0.1325</t>
  </si>
  <si>
    <t>1560</t>
  </si>
  <si>
    <t>23</t>
  </si>
  <si>
    <t>TEMD6200FX01</t>
  </si>
  <si>
    <t>PD1</t>
  </si>
  <si>
    <t>LED0805-RD</t>
  </si>
  <si>
    <t>C499517</t>
  </si>
  <si>
    <t>0.8639</t>
  </si>
  <si>
    <t>80</t>
  </si>
  <si>
    <t>24</t>
  </si>
  <si>
    <t>TEMD6200FX01_LED0805-RD</t>
  </si>
  <si>
    <t>PD2,PD3,PD4,PD5,PD6,PD7,PD8</t>
  </si>
  <si>
    <t>25</t>
  </si>
  <si>
    <t>AO3400A_C344010_SOT-23_L2.9-W1.3-P1.90-LS2.4-BR</t>
  </si>
  <si>
    <t>Q2</t>
  </si>
  <si>
    <t>SOT-23_L2.9-W1.3-P1.90-LS2.4-BR</t>
  </si>
  <si>
    <t>AO3400A</t>
  </si>
  <si>
    <t>Bourne Semicon (Shenzhen)</t>
  </si>
  <si>
    <t>C344010</t>
  </si>
  <si>
    <t>26</t>
  </si>
  <si>
    <t>LMBT3904DW1T1G</t>
  </si>
  <si>
    <t>Q5</t>
  </si>
  <si>
    <t>SOT-363_L2.0-W1.3-P0.65-LS2.1-TL</t>
  </si>
  <si>
    <t>LRC</t>
  </si>
  <si>
    <t>C131781</t>
  </si>
  <si>
    <t>0.0219</t>
  </si>
  <si>
    <t>40487</t>
  </si>
  <si>
    <t>27</t>
  </si>
  <si>
    <t>NCE3400</t>
  </si>
  <si>
    <t>Q16,Q17,Q18,Q19</t>
  </si>
  <si>
    <t>SOT-23-3_L2.9-W1.6-P1.90-LS2.8-BR</t>
  </si>
  <si>
    <t>无锡新洁能</t>
  </si>
  <si>
    <t>C113202</t>
  </si>
  <si>
    <t>0.0585</t>
  </si>
  <si>
    <t>14145</t>
  </si>
  <si>
    <t>28</t>
  </si>
  <si>
    <t>10K</t>
  </si>
  <si>
    <t>R1</t>
  </si>
  <si>
    <t>R1206</t>
  </si>
  <si>
    <t>RTAN1206BKE10K0</t>
  </si>
  <si>
    <t>Stackpole Elec</t>
  </si>
  <si>
    <t>C346744</t>
  </si>
  <si>
    <t>0.5266</t>
  </si>
  <si>
    <t>2241</t>
  </si>
  <si>
    <t>29</t>
  </si>
  <si>
    <t>10K_R1206</t>
  </si>
  <si>
    <t>R2,R3,R4,R17,R18,R19,R20</t>
  </si>
  <si>
    <t>30</t>
  </si>
  <si>
    <t>1K_R0603</t>
  </si>
  <si>
    <t>R5,R30,R31</t>
  </si>
  <si>
    <t>R0603</t>
  </si>
  <si>
    <t>RC0603JR-071KL</t>
  </si>
  <si>
    <t>C14676</t>
  </si>
  <si>
    <t>31</t>
  </si>
  <si>
    <t>ARG03BTC1002</t>
  </si>
  <si>
    <t>R6,R110,R112,R113,R114</t>
  </si>
  <si>
    <t>10kΩ</t>
  </si>
  <si>
    <t>Viking(光颉)</t>
  </si>
  <si>
    <t>C309083</t>
  </si>
  <si>
    <t>0.0197</t>
  </si>
  <si>
    <t>351620</t>
  </si>
  <si>
    <t>32</t>
  </si>
  <si>
    <t>100K</t>
  </si>
  <si>
    <t>R8</t>
  </si>
  <si>
    <t>RC0603FR-07100KL</t>
  </si>
  <si>
    <t>C14675</t>
  </si>
  <si>
    <t>33</t>
  </si>
  <si>
    <t>1K</t>
  </si>
  <si>
    <t>R21</t>
  </si>
  <si>
    <t>34</t>
  </si>
  <si>
    <t>10K_R0603</t>
  </si>
  <si>
    <t>R32,R33</t>
  </si>
  <si>
    <t>RC0603FR-0710KL</t>
  </si>
  <si>
    <t>C98220</t>
  </si>
  <si>
    <t>35</t>
  </si>
  <si>
    <t>5.1K</t>
  </si>
  <si>
    <t>R34</t>
  </si>
  <si>
    <t>RS-03K5101FT</t>
  </si>
  <si>
    <t>C156350</t>
  </si>
  <si>
    <t>0.0008</t>
  </si>
  <si>
    <t>191900</t>
  </si>
  <si>
    <t>36</t>
  </si>
  <si>
    <t>5.1K_R0603</t>
  </si>
  <si>
    <t>R35</t>
  </si>
  <si>
    <t>37</t>
  </si>
  <si>
    <t>CR1206F41005G</t>
  </si>
  <si>
    <t>R92</t>
  </si>
  <si>
    <t>10MΩ</t>
  </si>
  <si>
    <t>LIZ(丽智电子)</t>
  </si>
  <si>
    <t>C102064</t>
  </si>
  <si>
    <t>0.0042</t>
  </si>
  <si>
    <t>2200</t>
  </si>
  <si>
    <t>38</t>
  </si>
  <si>
    <t>0603WAF4702T5E</t>
  </si>
  <si>
    <t>R99,R100,R101,R102</t>
  </si>
  <si>
    <t>47kΩ</t>
  </si>
  <si>
    <t>UNI-ROYAL(厚声)</t>
  </si>
  <si>
    <t>C25819</t>
  </si>
  <si>
    <t>39</t>
  </si>
  <si>
    <t>0603WAF1101T5E</t>
  </si>
  <si>
    <t>R103,R104,R105,R106</t>
  </si>
  <si>
    <t>1.1kΩ</t>
  </si>
  <si>
    <t>C22764</t>
  </si>
  <si>
    <t>40</t>
  </si>
  <si>
    <t>0805W8F220JT5E</t>
  </si>
  <si>
    <t>R107,R108</t>
  </si>
  <si>
    <t>R0805</t>
  </si>
  <si>
    <t>22Ω</t>
  </si>
  <si>
    <t>C17561</t>
  </si>
  <si>
    <t>41</t>
  </si>
  <si>
    <t>0603WAF6200T5E</t>
  </si>
  <si>
    <t>R115</t>
  </si>
  <si>
    <t>620Ω</t>
  </si>
  <si>
    <t>C23220</t>
  </si>
  <si>
    <t>42</t>
  </si>
  <si>
    <t>IP2721_MAX12</t>
  </si>
  <si>
    <t>U3</t>
  </si>
  <si>
    <t>TSSOP-16_L5.0-W4.4-P0.65-LS6.4-BL</t>
  </si>
  <si>
    <t>INJOINIC</t>
  </si>
  <si>
    <t>43</t>
  </si>
  <si>
    <t>SPX3819M5-L-3-3/TR</t>
  </si>
  <si>
    <t>U5</t>
  </si>
  <si>
    <t>SOT-23-5_L3.0-W1.7-P0.95-LS2.8-BR</t>
  </si>
  <si>
    <t>EXAR</t>
  </si>
  <si>
    <t>C9055</t>
  </si>
  <si>
    <t>44</t>
  </si>
  <si>
    <t>ESP32-S</t>
  </si>
  <si>
    <t>U7</t>
  </si>
  <si>
    <t>WIRELM-SMD_ESP32-S</t>
  </si>
  <si>
    <t>Ai-Thinker</t>
  </si>
  <si>
    <t>3.7721</t>
  </si>
  <si>
    <t>46</t>
  </si>
  <si>
    <t>AP63205WU-7</t>
  </si>
  <si>
    <t>U32</t>
  </si>
  <si>
    <t>TSOT-23-6_L2.9-W1.6-P0.95-LS2.8-BL</t>
  </si>
  <si>
    <t>DIODES(美台)</t>
  </si>
  <si>
    <t>47</t>
  </si>
  <si>
    <t>TLC59108IPWR</t>
  </si>
  <si>
    <t>U41</t>
  </si>
  <si>
    <t>TSSOP-20_L6.5-W4.4-P0.65-LS6.4-BL</t>
  </si>
  <si>
    <t>-</t>
  </si>
  <si>
    <t>TI(德州仪器)</t>
  </si>
  <si>
    <t>C130031</t>
  </si>
  <si>
    <t>1.7994</t>
  </si>
  <si>
    <t>1938</t>
  </si>
  <si>
    <t>48</t>
  </si>
  <si>
    <t>LMP7717MF/NOPB</t>
  </si>
  <si>
    <t>U42</t>
  </si>
  <si>
    <t>SOT-23-5_L3.0-W1.7-P0.95-LS2.8-BL</t>
  </si>
  <si>
    <t>C202279</t>
  </si>
  <si>
    <t>2.1844</t>
  </si>
  <si>
    <t>1003</t>
  </si>
  <si>
    <t>49</t>
  </si>
  <si>
    <t>TMUX1309BQBR</t>
  </si>
  <si>
    <t>U44</t>
  </si>
  <si>
    <t>DHVQFN-16_L3.5-W2.5-P0.50-BL-EP</t>
  </si>
  <si>
    <t>C2871838</t>
  </si>
  <si>
    <t>0.2689</t>
  </si>
  <si>
    <t>440</t>
  </si>
  <si>
    <t>50</t>
  </si>
  <si>
    <t>TMUX1308QBQBRQ1</t>
  </si>
  <si>
    <t>U45</t>
  </si>
  <si>
    <t>QFN-16_L3.5-W2.5-P0.50-BL-EP</t>
  </si>
  <si>
    <t>C2861017</t>
  </si>
  <si>
    <t>0.2861</t>
  </si>
  <si>
    <t>2765</t>
  </si>
  <si>
    <t>51</t>
  </si>
  <si>
    <t>CP2102N-A02-GQFN28R</t>
  </si>
  <si>
    <t>U47</t>
  </si>
  <si>
    <t>QFN-28_L5.0-W5.0-P0.50-TL-EP3.3</t>
  </si>
  <si>
    <t>SILICON LABS(芯科)</t>
  </si>
  <si>
    <t>C964632</t>
  </si>
  <si>
    <t>2.1351</t>
  </si>
  <si>
    <t>2745</t>
  </si>
  <si>
    <t>52</t>
  </si>
  <si>
    <t>ADS1115IDGSR</t>
  </si>
  <si>
    <t>U48</t>
  </si>
  <si>
    <t>MSOP-10_L3.0-W3.0-P0.50-LS5.0-BL</t>
  </si>
  <si>
    <t>C37593</t>
  </si>
  <si>
    <t>53</t>
  </si>
  <si>
    <t>U262-161N-4BVC11</t>
  </si>
  <si>
    <t>USB1</t>
  </si>
  <si>
    <t>USB-3.1-SMD_U262-161N-4BVC11</t>
  </si>
  <si>
    <t>XKB Connectivity(中国星坤)</t>
  </si>
  <si>
    <t>C319148</t>
  </si>
  <si>
    <t>0.4026</t>
  </si>
  <si>
    <t>9561</t>
  </si>
  <si>
    <t>Notes</t>
  </si>
  <si>
    <t>Final price/unit</t>
  </si>
  <si>
    <t>Total price</t>
  </si>
  <si>
    <t>Buy 15 units</t>
  </si>
  <si>
    <t>Buy 50 and keep it for future orders</t>
  </si>
  <si>
    <t>Buy 100 and keep it for future orders</t>
  </si>
  <si>
    <t>Buy 10 and keep it for future orders</t>
  </si>
  <si>
    <t>Buy 20 and keep it for future orders</t>
  </si>
  <si>
    <t>Total number needed</t>
  </si>
  <si>
    <t>TAOBAO</t>
  </si>
  <si>
    <t>IP2721 MAX12</t>
  </si>
  <si>
    <t>https://item.taobao.com/item.htm?spm=a21n57.1.0.0.4df9523cnwBY6a&amp;id=688842211290&amp;ns=1&amp;abbucket=0&amp;mt=</t>
  </si>
  <si>
    <t>PLEASE SELECT MAX12 version</t>
  </si>
  <si>
    <t>TMALL</t>
  </si>
  <si>
    <t>https://detail.tmall.com/item.htm?abbucket=0&amp;id=674729846391&amp;ns=1&amp;spm=a21n57.1.0.0.4df9523cnwBY6a</t>
  </si>
  <si>
    <t>https://item.taobao.com/item.htm?spm=a1z0d.6639537/tb.1997196601.4.6daf7484fOMDHd&amp;id=709423154281</t>
  </si>
  <si>
    <t>TOTAL</t>
  </si>
  <si>
    <t>FEEL FREE TO ADAPT ALL RESISTORS AND CAPACITORS TO CHEAPER ONES IN THE ASSEMBLY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</si>
</sst>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33333"/>
      <name val="Arial"/>
      <family val="2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142875</xdr:colOff>
      <xdr:row>29</xdr:row>
      <xdr:rowOff>76200</xdr:rowOff>
    </xdr:from>
    <xdr:to>
      <xdr:col>31</xdr:col>
      <xdr:colOff>256018</xdr:colOff>
      <xdr:row>38</xdr:row>
      <xdr:rowOff>114081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E4E2D-A279-BF46-C6F8-3274D8D6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93150" y="5619750"/>
          <a:ext cx="9257143" cy="1752381"/>
        </a:xfrm>
        <a:prstGeom prst="rect">
          <a:avLst/>
        </a:prstGeom>
      </xdr:spPr>
    </xdr:pic>
    <xdr:clientData/>
  </xdr:twoCellAnchor>
  <xdr:twoCellAnchor editAs="oneCell">
    <xdr:from>
      <xdr:col>16</xdr:col>
      <xdr:colOff>247650</xdr:colOff>
      <xdr:row>40</xdr:row>
      <xdr:rowOff>9525</xdr:rowOff>
    </xdr:from>
    <xdr:to>
      <xdr:col>31</xdr:col>
      <xdr:colOff>256031</xdr:colOff>
      <xdr:row>47</xdr:row>
      <xdr:rowOff>9345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A35F73-2FED-768A-468F-B615B1A9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97925" y="7648575"/>
          <a:ext cx="9152381" cy="1438095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48</xdr:row>
      <xdr:rowOff>76200</xdr:rowOff>
    </xdr:from>
    <xdr:to>
      <xdr:col>31</xdr:col>
      <xdr:colOff>341727</xdr:colOff>
      <xdr:row>58</xdr:row>
      <xdr:rowOff>66438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59F2A-C3F7-AFCB-D314-FAAAAF46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55050" y="9239250"/>
          <a:ext cx="9380952" cy="18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21n57.1.0.0.4df9523cnwBY6a&amp;id=688842211290&amp;ns=1&amp;abbucket=0&amp;m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workbookViewId="0">
      <selection activeCell="N66" sqref="N66"/>
    </sheetView>
  </sheetViews>
  <sheetFormatPr defaultRowHeight="15" x14ac:dyDescent="0.25"/>
  <cols>
    <col min="1" max="12" width="20" customWidth="1"/>
    <col min="13" max="13" width="18.42578125" customWidth="1"/>
    <col min="14" max="14" width="16.5703125" bestFit="1" customWidth="1"/>
    <col min="16" max="16" width="34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334</v>
      </c>
      <c r="N1" t="s">
        <v>335</v>
      </c>
      <c r="O1" t="s">
        <v>341</v>
      </c>
      <c r="P1" t="s">
        <v>333</v>
      </c>
    </row>
    <row r="2" spans="1:16" ht="23.25" x14ac:dyDescent="0.3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f>K2*B2</f>
        <v>1.01E-2</v>
      </c>
      <c r="N2">
        <f>M2*5</f>
        <v>5.0499999999999996E-2</v>
      </c>
      <c r="O2">
        <f>5*B2</f>
        <v>5</v>
      </c>
      <c r="P2" s="4" t="s">
        <v>350</v>
      </c>
    </row>
    <row r="3" spans="1:16" x14ac:dyDescent="0.25">
      <c r="A3" t="s">
        <v>23</v>
      </c>
      <c r="B3" t="s">
        <v>12</v>
      </c>
      <c r="C3" t="s">
        <v>24</v>
      </c>
      <c r="D3" t="s">
        <v>25</v>
      </c>
      <c r="E3" t="s">
        <v>15</v>
      </c>
      <c r="F3" t="s">
        <v>16</v>
      </c>
      <c r="G3" t="s">
        <v>26</v>
      </c>
      <c r="H3" t="s">
        <v>27</v>
      </c>
      <c r="I3" t="s">
        <v>28</v>
      </c>
      <c r="J3" t="s">
        <v>20</v>
      </c>
      <c r="L3" t="s">
        <v>16</v>
      </c>
      <c r="N3">
        <v>0.53</v>
      </c>
      <c r="O3">
        <f t="shared" ref="O3:O53" si="0">5*B3</f>
        <v>5</v>
      </c>
      <c r="P3" t="s">
        <v>337</v>
      </c>
    </row>
    <row r="4" spans="1:16" x14ac:dyDescent="0.25">
      <c r="A4" t="s">
        <v>29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30</v>
      </c>
      <c r="H4" t="s">
        <v>34</v>
      </c>
      <c r="I4" t="s">
        <v>35</v>
      </c>
      <c r="J4" t="s">
        <v>20</v>
      </c>
      <c r="K4" t="s">
        <v>16</v>
      </c>
      <c r="L4" t="s">
        <v>16</v>
      </c>
      <c r="N4">
        <v>0.1</v>
      </c>
      <c r="O4">
        <f t="shared" si="0"/>
        <v>15</v>
      </c>
      <c r="P4" t="s">
        <v>338</v>
      </c>
    </row>
    <row r="5" spans="1:16" x14ac:dyDescent="0.25">
      <c r="A5" t="s">
        <v>36</v>
      </c>
      <c r="B5" t="s">
        <v>12</v>
      </c>
      <c r="C5" t="s">
        <v>37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42</v>
      </c>
      <c r="J5" t="s">
        <v>20</v>
      </c>
      <c r="K5" t="s">
        <v>16</v>
      </c>
      <c r="L5" t="s">
        <v>16</v>
      </c>
      <c r="N5">
        <v>1.37</v>
      </c>
      <c r="O5">
        <f t="shared" si="0"/>
        <v>5</v>
      </c>
      <c r="P5" t="s">
        <v>336</v>
      </c>
    </row>
    <row r="6" spans="1:16" x14ac:dyDescent="0.25">
      <c r="A6" t="s">
        <v>43</v>
      </c>
      <c r="B6" t="s">
        <v>12</v>
      </c>
      <c r="C6" t="s">
        <v>44</v>
      </c>
      <c r="D6" t="s">
        <v>45</v>
      </c>
      <c r="E6" t="s">
        <v>46</v>
      </c>
      <c r="F6" t="s">
        <v>16</v>
      </c>
      <c r="G6" t="s">
        <v>47</v>
      </c>
      <c r="H6" t="s">
        <v>48</v>
      </c>
      <c r="I6" t="s">
        <v>49</v>
      </c>
      <c r="J6" t="s">
        <v>20</v>
      </c>
      <c r="K6" t="s">
        <v>16</v>
      </c>
      <c r="L6" t="s">
        <v>16</v>
      </c>
      <c r="N6">
        <v>0.09</v>
      </c>
      <c r="O6">
        <f t="shared" si="0"/>
        <v>5</v>
      </c>
      <c r="P6" t="s">
        <v>338</v>
      </c>
    </row>
    <row r="7" spans="1:16" x14ac:dyDescent="0.25">
      <c r="A7" t="s">
        <v>50</v>
      </c>
      <c r="B7" t="s">
        <v>23</v>
      </c>
      <c r="C7" t="s">
        <v>51</v>
      </c>
      <c r="D7" t="s">
        <v>52</v>
      </c>
      <c r="E7" t="s">
        <v>53</v>
      </c>
      <c r="F7" t="s">
        <v>24</v>
      </c>
      <c r="G7" t="s">
        <v>51</v>
      </c>
      <c r="H7" t="s">
        <v>34</v>
      </c>
      <c r="I7" t="s">
        <v>54</v>
      </c>
      <c r="J7" t="s">
        <v>20</v>
      </c>
      <c r="K7" t="s">
        <v>55</v>
      </c>
      <c r="L7" t="s">
        <v>56</v>
      </c>
      <c r="M7">
        <f>K7*B7</f>
        <v>4.7399999999999998E-2</v>
      </c>
      <c r="N7">
        <f t="shared" ref="N7:N53" si="1">M7*5</f>
        <v>0.23699999999999999</v>
      </c>
      <c r="O7">
        <f t="shared" si="0"/>
        <v>10</v>
      </c>
    </row>
    <row r="8" spans="1:16" x14ac:dyDescent="0.25">
      <c r="A8" t="s">
        <v>57</v>
      </c>
      <c r="B8" t="s">
        <v>12</v>
      </c>
      <c r="C8" t="s">
        <v>58</v>
      </c>
      <c r="D8" t="s">
        <v>59</v>
      </c>
      <c r="E8" t="s">
        <v>53</v>
      </c>
      <c r="F8" t="s">
        <v>33</v>
      </c>
      <c r="G8" t="s">
        <v>58</v>
      </c>
      <c r="H8" t="s">
        <v>60</v>
      </c>
      <c r="I8" t="s">
        <v>61</v>
      </c>
      <c r="J8" t="s">
        <v>20</v>
      </c>
      <c r="K8" t="s">
        <v>16</v>
      </c>
      <c r="L8" t="s">
        <v>16</v>
      </c>
      <c r="N8">
        <v>0.24</v>
      </c>
      <c r="O8">
        <f t="shared" si="0"/>
        <v>5</v>
      </c>
      <c r="P8" t="s">
        <v>338</v>
      </c>
    </row>
    <row r="9" spans="1:16" x14ac:dyDescent="0.25">
      <c r="A9" t="s">
        <v>62</v>
      </c>
      <c r="B9" t="s">
        <v>23</v>
      </c>
      <c r="C9" t="s">
        <v>63</v>
      </c>
      <c r="D9" t="s">
        <v>64</v>
      </c>
      <c r="E9" t="s">
        <v>15</v>
      </c>
      <c r="F9" t="s">
        <v>65</v>
      </c>
      <c r="G9" t="s">
        <v>66</v>
      </c>
      <c r="H9" t="s">
        <v>34</v>
      </c>
      <c r="I9" t="s">
        <v>67</v>
      </c>
      <c r="J9" t="s">
        <v>20</v>
      </c>
      <c r="K9" t="s">
        <v>16</v>
      </c>
      <c r="L9" t="s">
        <v>16</v>
      </c>
      <c r="N9">
        <v>0.53</v>
      </c>
      <c r="O9">
        <f t="shared" si="0"/>
        <v>10</v>
      </c>
      <c r="P9" t="s">
        <v>340</v>
      </c>
    </row>
    <row r="10" spans="1:16" x14ac:dyDescent="0.25">
      <c r="A10" t="s">
        <v>68</v>
      </c>
      <c r="B10" t="s">
        <v>12</v>
      </c>
      <c r="C10" t="s">
        <v>69</v>
      </c>
      <c r="D10" t="s">
        <v>70</v>
      </c>
      <c r="E10" t="s">
        <v>46</v>
      </c>
      <c r="F10" t="s">
        <v>16</v>
      </c>
      <c r="G10" t="s">
        <v>71</v>
      </c>
      <c r="H10" t="s">
        <v>72</v>
      </c>
      <c r="I10" t="s">
        <v>73</v>
      </c>
      <c r="J10" t="s">
        <v>20</v>
      </c>
      <c r="K10" t="s">
        <v>74</v>
      </c>
      <c r="L10" t="s">
        <v>75</v>
      </c>
      <c r="M10">
        <f>K10*B10</f>
        <v>6.3E-3</v>
      </c>
      <c r="N10">
        <f t="shared" si="1"/>
        <v>3.15E-2</v>
      </c>
      <c r="O10">
        <f t="shared" si="0"/>
        <v>5</v>
      </c>
    </row>
    <row r="11" spans="1:16" x14ac:dyDescent="0.25">
      <c r="A11" t="s">
        <v>76</v>
      </c>
      <c r="B11" t="s">
        <v>12</v>
      </c>
      <c r="C11" t="s">
        <v>77</v>
      </c>
      <c r="D11" t="s">
        <v>78</v>
      </c>
      <c r="E11" t="s">
        <v>53</v>
      </c>
      <c r="F11" t="s">
        <v>24</v>
      </c>
      <c r="G11" t="s">
        <v>77</v>
      </c>
      <c r="H11" t="s">
        <v>34</v>
      </c>
      <c r="I11" t="s">
        <v>79</v>
      </c>
      <c r="J11" t="s">
        <v>20</v>
      </c>
      <c r="K11" t="s">
        <v>16</v>
      </c>
      <c r="L11" t="s">
        <v>16</v>
      </c>
      <c r="N11">
        <v>0.67</v>
      </c>
      <c r="O11">
        <f t="shared" si="0"/>
        <v>5</v>
      </c>
      <c r="P11" t="s">
        <v>338</v>
      </c>
    </row>
    <row r="12" spans="1:16" x14ac:dyDescent="0.25">
      <c r="A12" t="s">
        <v>80</v>
      </c>
      <c r="B12" t="s">
        <v>12</v>
      </c>
      <c r="C12" t="s">
        <v>81</v>
      </c>
      <c r="D12" t="s">
        <v>82</v>
      </c>
      <c r="E12" t="s">
        <v>53</v>
      </c>
      <c r="F12" t="s">
        <v>83</v>
      </c>
      <c r="G12" t="s">
        <v>81</v>
      </c>
      <c r="H12" t="s">
        <v>34</v>
      </c>
      <c r="I12" t="s">
        <v>84</v>
      </c>
      <c r="J12" t="s">
        <v>20</v>
      </c>
      <c r="K12" t="s">
        <v>16</v>
      </c>
      <c r="L12" t="s">
        <v>16</v>
      </c>
      <c r="N12">
        <v>0.76</v>
      </c>
      <c r="O12">
        <f t="shared" si="0"/>
        <v>5</v>
      </c>
      <c r="P12" t="s">
        <v>338</v>
      </c>
    </row>
    <row r="13" spans="1:16" ht="15.75" x14ac:dyDescent="0.25">
      <c r="A13" t="s">
        <v>85</v>
      </c>
      <c r="B13" t="s">
        <v>12</v>
      </c>
      <c r="C13" t="s">
        <v>86</v>
      </c>
      <c r="D13" t="s">
        <v>87</v>
      </c>
      <c r="E13" t="s">
        <v>15</v>
      </c>
      <c r="F13" t="s">
        <v>88</v>
      </c>
      <c r="G13" t="s">
        <v>86</v>
      </c>
      <c r="H13" t="s">
        <v>34</v>
      </c>
      <c r="I13" t="s">
        <v>89</v>
      </c>
      <c r="J13" t="s">
        <v>20</v>
      </c>
      <c r="K13" t="s">
        <v>16</v>
      </c>
      <c r="L13" t="s">
        <v>16</v>
      </c>
      <c r="N13" s="1">
        <v>0.46</v>
      </c>
      <c r="O13">
        <f t="shared" si="0"/>
        <v>5</v>
      </c>
      <c r="P13" t="s">
        <v>340</v>
      </c>
    </row>
    <row r="14" spans="1:16" ht="15.75" x14ac:dyDescent="0.25">
      <c r="A14" t="s">
        <v>90</v>
      </c>
      <c r="B14" t="s">
        <v>12</v>
      </c>
      <c r="C14" t="s">
        <v>91</v>
      </c>
      <c r="D14" t="s">
        <v>92</v>
      </c>
      <c r="E14" t="s">
        <v>15</v>
      </c>
      <c r="F14" t="s">
        <v>13</v>
      </c>
      <c r="G14" t="s">
        <v>91</v>
      </c>
      <c r="H14" t="s">
        <v>34</v>
      </c>
      <c r="I14" t="s">
        <v>93</v>
      </c>
      <c r="J14" t="s">
        <v>20</v>
      </c>
      <c r="K14" t="s">
        <v>16</v>
      </c>
      <c r="L14" t="s">
        <v>16</v>
      </c>
      <c r="N14" s="1">
        <v>0.48</v>
      </c>
      <c r="O14">
        <f t="shared" si="0"/>
        <v>5</v>
      </c>
      <c r="P14" t="s">
        <v>337</v>
      </c>
    </row>
    <row r="15" spans="1:16" x14ac:dyDescent="0.25">
      <c r="A15" t="s">
        <v>94</v>
      </c>
      <c r="B15" t="s">
        <v>12</v>
      </c>
      <c r="C15" t="s">
        <v>95</v>
      </c>
      <c r="D15" t="s">
        <v>96</v>
      </c>
      <c r="E15" t="s">
        <v>97</v>
      </c>
      <c r="F15" t="s">
        <v>98</v>
      </c>
      <c r="G15" t="s">
        <v>95</v>
      </c>
      <c r="H15" t="s">
        <v>34</v>
      </c>
      <c r="I15" t="s">
        <v>99</v>
      </c>
      <c r="J15" t="s">
        <v>20</v>
      </c>
      <c r="K15" t="s">
        <v>16</v>
      </c>
      <c r="L15" t="s">
        <v>16</v>
      </c>
      <c r="N15">
        <v>0.31</v>
      </c>
      <c r="O15">
        <f t="shared" si="0"/>
        <v>5</v>
      </c>
    </row>
    <row r="16" spans="1:16" x14ac:dyDescent="0.25">
      <c r="A16" t="s">
        <v>100</v>
      </c>
      <c r="B16" t="s">
        <v>23</v>
      </c>
      <c r="C16" t="s">
        <v>101</v>
      </c>
      <c r="D16" t="s">
        <v>102</v>
      </c>
      <c r="E16" t="s">
        <v>103</v>
      </c>
      <c r="F16" t="s">
        <v>16</v>
      </c>
      <c r="G16" t="s">
        <v>101</v>
      </c>
      <c r="H16" t="s">
        <v>104</v>
      </c>
      <c r="I16" t="s">
        <v>105</v>
      </c>
      <c r="J16" t="s">
        <v>20</v>
      </c>
      <c r="K16">
        <v>0.39</v>
      </c>
      <c r="L16">
        <v>888</v>
      </c>
      <c r="M16">
        <f>K16*B16</f>
        <v>0.78</v>
      </c>
      <c r="N16">
        <f t="shared" si="1"/>
        <v>3.9000000000000004</v>
      </c>
      <c r="O16">
        <f t="shared" si="0"/>
        <v>10</v>
      </c>
    </row>
    <row r="17" spans="1:16" x14ac:dyDescent="0.25">
      <c r="A17" t="s">
        <v>106</v>
      </c>
      <c r="B17" t="s">
        <v>12</v>
      </c>
      <c r="C17" t="s">
        <v>107</v>
      </c>
      <c r="D17" t="s">
        <v>108</v>
      </c>
      <c r="E17" t="s">
        <v>109</v>
      </c>
      <c r="F17" t="s">
        <v>16</v>
      </c>
      <c r="G17" t="s">
        <v>107</v>
      </c>
      <c r="H17" t="s">
        <v>104</v>
      </c>
      <c r="I17" t="s">
        <v>110</v>
      </c>
      <c r="J17" t="s">
        <v>20</v>
      </c>
      <c r="K17">
        <v>0.36</v>
      </c>
      <c r="L17">
        <v>8823</v>
      </c>
      <c r="M17">
        <f>K17*B17</f>
        <v>0.36</v>
      </c>
      <c r="N17">
        <f t="shared" si="1"/>
        <v>1.7999999999999998</v>
      </c>
      <c r="O17">
        <f t="shared" si="0"/>
        <v>5</v>
      </c>
    </row>
    <row r="18" spans="1:16" x14ac:dyDescent="0.25">
      <c r="A18" t="s">
        <v>111</v>
      </c>
      <c r="B18" t="s">
        <v>12</v>
      </c>
      <c r="C18" t="s">
        <v>112</v>
      </c>
      <c r="D18" t="s">
        <v>113</v>
      </c>
      <c r="E18" t="s">
        <v>114</v>
      </c>
      <c r="F18" t="s">
        <v>16</v>
      </c>
      <c r="G18" t="s">
        <v>112</v>
      </c>
      <c r="H18" t="s">
        <v>104</v>
      </c>
      <c r="I18" t="s">
        <v>115</v>
      </c>
      <c r="J18" t="s">
        <v>20</v>
      </c>
      <c r="L18">
        <v>12755</v>
      </c>
      <c r="N18">
        <v>0.89</v>
      </c>
      <c r="O18">
        <f t="shared" si="0"/>
        <v>5</v>
      </c>
    </row>
    <row r="19" spans="1:16" x14ac:dyDescent="0.25">
      <c r="A19" t="s">
        <v>116</v>
      </c>
      <c r="B19" t="s">
        <v>12</v>
      </c>
      <c r="C19" t="s">
        <v>117</v>
      </c>
      <c r="D19" t="s">
        <v>118</v>
      </c>
      <c r="E19" t="s">
        <v>119</v>
      </c>
      <c r="F19" t="s">
        <v>120</v>
      </c>
      <c r="G19" t="s">
        <v>117</v>
      </c>
      <c r="H19" t="s">
        <v>121</v>
      </c>
      <c r="I19" t="s">
        <v>122</v>
      </c>
      <c r="J19" t="s">
        <v>20</v>
      </c>
      <c r="K19" t="s">
        <v>16</v>
      </c>
      <c r="L19" t="s">
        <v>16</v>
      </c>
      <c r="N19">
        <v>0.59</v>
      </c>
      <c r="O19">
        <f t="shared" si="0"/>
        <v>5</v>
      </c>
      <c r="P19" t="s">
        <v>339</v>
      </c>
    </row>
    <row r="20" spans="1:16" x14ac:dyDescent="0.25">
      <c r="A20" t="s">
        <v>123</v>
      </c>
      <c r="B20" t="s">
        <v>12</v>
      </c>
      <c r="C20" t="s">
        <v>124</v>
      </c>
      <c r="D20" t="s">
        <v>125</v>
      </c>
      <c r="E20" t="s">
        <v>126</v>
      </c>
      <c r="F20" t="s">
        <v>16</v>
      </c>
      <c r="G20" t="s">
        <v>124</v>
      </c>
      <c r="H20" t="s">
        <v>127</v>
      </c>
      <c r="I20" t="s">
        <v>128</v>
      </c>
      <c r="J20" t="s">
        <v>20</v>
      </c>
      <c r="K20" t="s">
        <v>16</v>
      </c>
      <c r="L20" t="s">
        <v>16</v>
      </c>
      <c r="N20">
        <v>0.36</v>
      </c>
      <c r="O20">
        <f t="shared" si="0"/>
        <v>5</v>
      </c>
      <c r="P20" t="s">
        <v>340</v>
      </c>
    </row>
    <row r="21" spans="1:16" x14ac:dyDescent="0.25">
      <c r="A21" t="s">
        <v>129</v>
      </c>
      <c r="B21" t="s">
        <v>12</v>
      </c>
      <c r="C21" t="s">
        <v>130</v>
      </c>
      <c r="D21" t="s">
        <v>131</v>
      </c>
      <c r="E21" t="s">
        <v>126</v>
      </c>
      <c r="F21" t="s">
        <v>16</v>
      </c>
      <c r="G21" t="s">
        <v>130</v>
      </c>
      <c r="H21" t="s">
        <v>132</v>
      </c>
      <c r="I21" t="s">
        <v>133</v>
      </c>
      <c r="J21" t="s">
        <v>20</v>
      </c>
      <c r="K21" t="s">
        <v>134</v>
      </c>
      <c r="L21" t="s">
        <v>135</v>
      </c>
      <c r="M21">
        <f>K21*B21</f>
        <v>2.35E-2</v>
      </c>
      <c r="N21">
        <f t="shared" si="1"/>
        <v>0.11749999999999999</v>
      </c>
      <c r="O21">
        <f t="shared" si="0"/>
        <v>5</v>
      </c>
    </row>
    <row r="22" spans="1:16" x14ac:dyDescent="0.25">
      <c r="A22" t="s">
        <v>136</v>
      </c>
      <c r="B22" t="s">
        <v>12</v>
      </c>
      <c r="C22" t="s">
        <v>137</v>
      </c>
      <c r="D22" t="s">
        <v>138</v>
      </c>
      <c r="E22" t="s">
        <v>126</v>
      </c>
      <c r="F22" t="s">
        <v>16</v>
      </c>
      <c r="G22" t="s">
        <v>137</v>
      </c>
      <c r="H22" t="s">
        <v>127</v>
      </c>
      <c r="I22" t="s">
        <v>139</v>
      </c>
      <c r="J22" t="s">
        <v>20</v>
      </c>
      <c r="K22" t="s">
        <v>16</v>
      </c>
      <c r="L22" t="s">
        <v>16</v>
      </c>
      <c r="N22">
        <v>0.54</v>
      </c>
      <c r="O22">
        <f t="shared" si="0"/>
        <v>5</v>
      </c>
      <c r="P22" t="s">
        <v>340</v>
      </c>
    </row>
    <row r="23" spans="1:16" x14ac:dyDescent="0.25">
      <c r="A23" t="s">
        <v>140</v>
      </c>
      <c r="B23" t="s">
        <v>62</v>
      </c>
      <c r="C23" t="s">
        <v>141</v>
      </c>
      <c r="D23" t="s">
        <v>142</v>
      </c>
      <c r="E23" t="s">
        <v>143</v>
      </c>
      <c r="F23" t="s">
        <v>16</v>
      </c>
      <c r="G23" t="s">
        <v>141</v>
      </c>
      <c r="H23" t="s">
        <v>144</v>
      </c>
      <c r="I23" t="s">
        <v>145</v>
      </c>
      <c r="J23" t="s">
        <v>20</v>
      </c>
      <c r="K23" t="s">
        <v>146</v>
      </c>
      <c r="L23" t="s">
        <v>147</v>
      </c>
      <c r="M23">
        <f>K23*B23</f>
        <v>1.06</v>
      </c>
      <c r="N23">
        <f t="shared" si="1"/>
        <v>5.3000000000000007</v>
      </c>
      <c r="O23">
        <f t="shared" si="0"/>
        <v>40</v>
      </c>
    </row>
    <row r="24" spans="1:16" x14ac:dyDescent="0.25">
      <c r="A24" t="s">
        <v>148</v>
      </c>
      <c r="B24" t="s">
        <v>12</v>
      </c>
      <c r="C24" t="s">
        <v>149</v>
      </c>
      <c r="D24" t="s">
        <v>150</v>
      </c>
      <c r="E24" t="s">
        <v>151</v>
      </c>
      <c r="F24" t="s">
        <v>16</v>
      </c>
      <c r="G24" t="s">
        <v>149</v>
      </c>
      <c r="H24" t="s">
        <v>72</v>
      </c>
      <c r="I24" t="s">
        <v>152</v>
      </c>
      <c r="J24" t="s">
        <v>20</v>
      </c>
      <c r="K24" t="s">
        <v>153</v>
      </c>
      <c r="L24" t="s">
        <v>154</v>
      </c>
      <c r="M24">
        <f>K24*B24</f>
        <v>0.8639</v>
      </c>
      <c r="N24">
        <f t="shared" si="1"/>
        <v>4.3194999999999997</v>
      </c>
      <c r="O24">
        <f t="shared" si="0"/>
        <v>5</v>
      </c>
    </row>
    <row r="25" spans="1:16" x14ac:dyDescent="0.25">
      <c r="A25" t="s">
        <v>155</v>
      </c>
      <c r="B25" t="s">
        <v>57</v>
      </c>
      <c r="C25" t="s">
        <v>156</v>
      </c>
      <c r="D25" t="s">
        <v>157</v>
      </c>
      <c r="E25" t="s">
        <v>151</v>
      </c>
      <c r="F25" t="s">
        <v>16</v>
      </c>
      <c r="G25" t="s">
        <v>149</v>
      </c>
      <c r="H25" t="s">
        <v>72</v>
      </c>
      <c r="I25" t="s">
        <v>152</v>
      </c>
      <c r="J25" t="s">
        <v>20</v>
      </c>
      <c r="K25" t="s">
        <v>153</v>
      </c>
      <c r="L25" t="s">
        <v>154</v>
      </c>
      <c r="M25">
        <f>K25*B25</f>
        <v>6.0472999999999999</v>
      </c>
      <c r="N25">
        <f t="shared" si="1"/>
        <v>30.236499999999999</v>
      </c>
      <c r="O25">
        <f t="shared" si="0"/>
        <v>35</v>
      </c>
    </row>
    <row r="26" spans="1:16" x14ac:dyDescent="0.25">
      <c r="A26" t="s">
        <v>158</v>
      </c>
      <c r="B26" t="s">
        <v>12</v>
      </c>
      <c r="C26" t="s">
        <v>159</v>
      </c>
      <c r="D26" t="s">
        <v>160</v>
      </c>
      <c r="E26" t="s">
        <v>161</v>
      </c>
      <c r="F26" t="s">
        <v>16</v>
      </c>
      <c r="G26" t="s">
        <v>162</v>
      </c>
      <c r="H26" t="s">
        <v>163</v>
      </c>
      <c r="I26" t="s">
        <v>164</v>
      </c>
      <c r="J26" t="s">
        <v>20</v>
      </c>
      <c r="K26" t="s">
        <v>16</v>
      </c>
      <c r="L26" t="s">
        <v>16</v>
      </c>
      <c r="N26">
        <v>0.4</v>
      </c>
      <c r="O26">
        <f t="shared" si="0"/>
        <v>5</v>
      </c>
      <c r="P26" t="s">
        <v>339</v>
      </c>
    </row>
    <row r="27" spans="1:16" x14ac:dyDescent="0.25">
      <c r="A27" t="s">
        <v>165</v>
      </c>
      <c r="B27" t="s">
        <v>12</v>
      </c>
      <c r="C27" t="s">
        <v>166</v>
      </c>
      <c r="D27" t="s">
        <v>167</v>
      </c>
      <c r="E27" t="s">
        <v>168</v>
      </c>
      <c r="F27" t="s">
        <v>16</v>
      </c>
      <c r="G27" t="s">
        <v>166</v>
      </c>
      <c r="H27" t="s">
        <v>169</v>
      </c>
      <c r="I27" t="s">
        <v>170</v>
      </c>
      <c r="J27" t="s">
        <v>20</v>
      </c>
      <c r="K27" t="s">
        <v>171</v>
      </c>
      <c r="L27" t="s">
        <v>172</v>
      </c>
      <c r="M27">
        <f>K27*B27</f>
        <v>2.1899999999999999E-2</v>
      </c>
      <c r="N27">
        <f t="shared" si="1"/>
        <v>0.1095</v>
      </c>
      <c r="O27">
        <f t="shared" si="0"/>
        <v>5</v>
      </c>
    </row>
    <row r="28" spans="1:16" x14ac:dyDescent="0.25">
      <c r="A28" t="s">
        <v>173</v>
      </c>
      <c r="B28" t="s">
        <v>36</v>
      </c>
      <c r="C28" t="s">
        <v>174</v>
      </c>
      <c r="D28" t="s">
        <v>175</v>
      </c>
      <c r="E28" t="s">
        <v>176</v>
      </c>
      <c r="F28" t="s">
        <v>16</v>
      </c>
      <c r="G28" t="s">
        <v>174</v>
      </c>
      <c r="H28" t="s">
        <v>177</v>
      </c>
      <c r="I28" t="s">
        <v>178</v>
      </c>
      <c r="J28" t="s">
        <v>20</v>
      </c>
      <c r="K28" t="s">
        <v>179</v>
      </c>
      <c r="L28" t="s">
        <v>180</v>
      </c>
      <c r="M28">
        <f>K28*B28</f>
        <v>0.23400000000000001</v>
      </c>
      <c r="N28">
        <f t="shared" si="1"/>
        <v>1.1700000000000002</v>
      </c>
      <c r="O28">
        <f t="shared" si="0"/>
        <v>20</v>
      </c>
    </row>
    <row r="29" spans="1:16" x14ac:dyDescent="0.25">
      <c r="A29" t="s">
        <v>181</v>
      </c>
      <c r="B29" t="s">
        <v>12</v>
      </c>
      <c r="C29" t="s">
        <v>182</v>
      </c>
      <c r="D29" t="s">
        <v>183</v>
      </c>
      <c r="E29" t="s">
        <v>184</v>
      </c>
      <c r="F29" t="s">
        <v>16</v>
      </c>
      <c r="G29" t="s">
        <v>185</v>
      </c>
      <c r="H29" t="s">
        <v>186</v>
      </c>
      <c r="I29" t="s">
        <v>187</v>
      </c>
      <c r="J29" t="s">
        <v>20</v>
      </c>
      <c r="K29" t="s">
        <v>188</v>
      </c>
      <c r="L29" t="s">
        <v>189</v>
      </c>
      <c r="M29">
        <f>K29*B29</f>
        <v>0.52659999999999996</v>
      </c>
      <c r="N29">
        <f t="shared" si="1"/>
        <v>2.633</v>
      </c>
      <c r="O29">
        <f t="shared" si="0"/>
        <v>5</v>
      </c>
    </row>
    <row r="30" spans="1:16" x14ac:dyDescent="0.25">
      <c r="A30" t="s">
        <v>190</v>
      </c>
      <c r="B30" t="s">
        <v>57</v>
      </c>
      <c r="C30" t="s">
        <v>191</v>
      </c>
      <c r="D30" t="s">
        <v>192</v>
      </c>
      <c r="E30" t="s">
        <v>184</v>
      </c>
      <c r="F30" t="s">
        <v>16</v>
      </c>
      <c r="G30" t="s">
        <v>185</v>
      </c>
      <c r="H30" t="s">
        <v>186</v>
      </c>
      <c r="I30" t="s">
        <v>187</v>
      </c>
      <c r="J30" t="s">
        <v>20</v>
      </c>
      <c r="K30" t="s">
        <v>188</v>
      </c>
      <c r="L30" t="s">
        <v>189</v>
      </c>
      <c r="M30">
        <f>K30*B30</f>
        <v>3.6861999999999995</v>
      </c>
      <c r="N30">
        <f t="shared" si="1"/>
        <v>18.430999999999997</v>
      </c>
      <c r="O30">
        <f t="shared" si="0"/>
        <v>35</v>
      </c>
    </row>
    <row r="31" spans="1:16" x14ac:dyDescent="0.25">
      <c r="A31" t="s">
        <v>193</v>
      </c>
      <c r="B31" t="s">
        <v>29</v>
      </c>
      <c r="C31" t="s">
        <v>194</v>
      </c>
      <c r="D31" t="s">
        <v>195</v>
      </c>
      <c r="E31" t="s">
        <v>196</v>
      </c>
      <c r="F31" t="s">
        <v>16</v>
      </c>
      <c r="G31" t="s">
        <v>197</v>
      </c>
      <c r="H31" t="s">
        <v>48</v>
      </c>
      <c r="I31" t="s">
        <v>198</v>
      </c>
      <c r="J31" t="s">
        <v>20</v>
      </c>
      <c r="K31" t="s">
        <v>16</v>
      </c>
      <c r="L31" t="s">
        <v>16</v>
      </c>
      <c r="N31">
        <v>0.11</v>
      </c>
      <c r="O31">
        <f t="shared" si="0"/>
        <v>15</v>
      </c>
      <c r="P31" t="s">
        <v>338</v>
      </c>
    </row>
    <row r="32" spans="1:16" x14ac:dyDescent="0.25">
      <c r="A32" t="s">
        <v>199</v>
      </c>
      <c r="B32" t="s">
        <v>43</v>
      </c>
      <c r="C32" t="s">
        <v>200</v>
      </c>
      <c r="D32" t="s">
        <v>201</v>
      </c>
      <c r="E32" t="s">
        <v>196</v>
      </c>
      <c r="F32" t="s">
        <v>202</v>
      </c>
      <c r="G32" t="s">
        <v>200</v>
      </c>
      <c r="H32" t="s">
        <v>203</v>
      </c>
      <c r="I32" t="s">
        <v>204</v>
      </c>
      <c r="J32" t="s">
        <v>20</v>
      </c>
      <c r="K32" t="s">
        <v>205</v>
      </c>
      <c r="L32" t="s">
        <v>206</v>
      </c>
      <c r="M32">
        <f>K32*B32</f>
        <v>9.849999999999999E-2</v>
      </c>
      <c r="N32">
        <f t="shared" si="1"/>
        <v>0.49249999999999994</v>
      </c>
      <c r="O32">
        <f t="shared" si="0"/>
        <v>25</v>
      </c>
    </row>
    <row r="33" spans="1:16" x14ac:dyDescent="0.25">
      <c r="A33" t="s">
        <v>207</v>
      </c>
      <c r="B33" t="s">
        <v>12</v>
      </c>
      <c r="C33" t="s">
        <v>208</v>
      </c>
      <c r="D33" t="s">
        <v>209</v>
      </c>
      <c r="E33" t="s">
        <v>196</v>
      </c>
      <c r="F33" t="s">
        <v>16</v>
      </c>
      <c r="G33" t="s">
        <v>210</v>
      </c>
      <c r="H33" t="s">
        <v>48</v>
      </c>
      <c r="I33" t="s">
        <v>211</v>
      </c>
      <c r="J33" t="s">
        <v>20</v>
      </c>
      <c r="K33" t="s">
        <v>16</v>
      </c>
      <c r="L33" t="s">
        <v>16</v>
      </c>
      <c r="N33">
        <v>0.1</v>
      </c>
      <c r="O33">
        <f t="shared" si="0"/>
        <v>5</v>
      </c>
      <c r="P33" t="s">
        <v>338</v>
      </c>
    </row>
    <row r="34" spans="1:16" x14ac:dyDescent="0.25">
      <c r="A34" t="s">
        <v>212</v>
      </c>
      <c r="B34" t="s">
        <v>12</v>
      </c>
      <c r="C34" t="s">
        <v>213</v>
      </c>
      <c r="D34" t="s">
        <v>214</v>
      </c>
      <c r="E34" t="s">
        <v>196</v>
      </c>
      <c r="F34" t="s">
        <v>16</v>
      </c>
      <c r="G34" t="s">
        <v>197</v>
      </c>
      <c r="H34" t="s">
        <v>48</v>
      </c>
      <c r="I34" t="s">
        <v>198</v>
      </c>
      <c r="J34" t="s">
        <v>20</v>
      </c>
      <c r="K34" t="s">
        <v>16</v>
      </c>
      <c r="L34" t="s">
        <v>16</v>
      </c>
      <c r="N34">
        <v>0.11</v>
      </c>
      <c r="O34">
        <f t="shared" si="0"/>
        <v>5</v>
      </c>
      <c r="P34" t="s">
        <v>338</v>
      </c>
    </row>
    <row r="35" spans="1:16" x14ac:dyDescent="0.25">
      <c r="A35" t="s">
        <v>215</v>
      </c>
      <c r="B35" t="s">
        <v>23</v>
      </c>
      <c r="C35" t="s">
        <v>216</v>
      </c>
      <c r="D35" t="s">
        <v>217</v>
      </c>
      <c r="E35" t="s">
        <v>196</v>
      </c>
      <c r="F35" t="s">
        <v>16</v>
      </c>
      <c r="G35" t="s">
        <v>218</v>
      </c>
      <c r="H35" t="s">
        <v>48</v>
      </c>
      <c r="I35" t="s">
        <v>219</v>
      </c>
      <c r="J35" t="s">
        <v>20</v>
      </c>
      <c r="K35" t="s">
        <v>16</v>
      </c>
      <c r="L35" t="s">
        <v>16</v>
      </c>
      <c r="N35">
        <v>0.1</v>
      </c>
      <c r="O35">
        <f t="shared" si="0"/>
        <v>10</v>
      </c>
      <c r="P35" t="s">
        <v>338</v>
      </c>
    </row>
    <row r="36" spans="1:16" x14ac:dyDescent="0.25">
      <c r="A36" t="s">
        <v>220</v>
      </c>
      <c r="B36" t="s">
        <v>12</v>
      </c>
      <c r="C36" t="s">
        <v>221</v>
      </c>
      <c r="D36" t="s">
        <v>222</v>
      </c>
      <c r="E36" t="s">
        <v>196</v>
      </c>
      <c r="F36" t="s">
        <v>16</v>
      </c>
      <c r="G36" t="s">
        <v>223</v>
      </c>
      <c r="H36" t="s">
        <v>18</v>
      </c>
      <c r="I36" t="s">
        <v>224</v>
      </c>
      <c r="J36" t="s">
        <v>20</v>
      </c>
      <c r="K36" t="s">
        <v>225</v>
      </c>
      <c r="L36" t="s">
        <v>226</v>
      </c>
      <c r="M36">
        <f>K36*B36</f>
        <v>8.0000000000000004E-4</v>
      </c>
      <c r="N36">
        <f t="shared" si="1"/>
        <v>4.0000000000000001E-3</v>
      </c>
      <c r="O36">
        <f t="shared" si="0"/>
        <v>5</v>
      </c>
    </row>
    <row r="37" spans="1:16" x14ac:dyDescent="0.25">
      <c r="A37" t="s">
        <v>227</v>
      </c>
      <c r="B37" t="s">
        <v>12</v>
      </c>
      <c r="C37" t="s">
        <v>228</v>
      </c>
      <c r="D37" t="s">
        <v>229</v>
      </c>
      <c r="E37" t="s">
        <v>196</v>
      </c>
      <c r="F37" t="s">
        <v>16</v>
      </c>
      <c r="G37" t="s">
        <v>223</v>
      </c>
      <c r="H37" t="s">
        <v>18</v>
      </c>
      <c r="I37" t="s">
        <v>224</v>
      </c>
      <c r="J37" t="s">
        <v>20</v>
      </c>
      <c r="K37" t="s">
        <v>225</v>
      </c>
      <c r="L37" t="s">
        <v>226</v>
      </c>
      <c r="M37">
        <f>K37*B37</f>
        <v>8.0000000000000004E-4</v>
      </c>
      <c r="N37">
        <f t="shared" si="1"/>
        <v>4.0000000000000001E-3</v>
      </c>
      <c r="O37">
        <f t="shared" si="0"/>
        <v>5</v>
      </c>
    </row>
    <row r="38" spans="1:16" x14ac:dyDescent="0.25">
      <c r="A38" t="s">
        <v>230</v>
      </c>
      <c r="B38" t="s">
        <v>12</v>
      </c>
      <c r="C38" t="s">
        <v>231</v>
      </c>
      <c r="D38" t="s">
        <v>232</v>
      </c>
      <c r="E38" t="s">
        <v>184</v>
      </c>
      <c r="F38" t="s">
        <v>233</v>
      </c>
      <c r="G38" t="s">
        <v>231</v>
      </c>
      <c r="H38" t="s">
        <v>234</v>
      </c>
      <c r="I38" t="s">
        <v>235</v>
      </c>
      <c r="J38" t="s">
        <v>20</v>
      </c>
      <c r="K38" t="s">
        <v>236</v>
      </c>
      <c r="L38" t="s">
        <v>237</v>
      </c>
      <c r="M38">
        <f>K38*B38</f>
        <v>4.1999999999999997E-3</v>
      </c>
      <c r="N38">
        <f t="shared" si="1"/>
        <v>2.0999999999999998E-2</v>
      </c>
      <c r="O38">
        <f t="shared" si="0"/>
        <v>5</v>
      </c>
    </row>
    <row r="39" spans="1:16" x14ac:dyDescent="0.25">
      <c r="A39" t="s">
        <v>238</v>
      </c>
      <c r="B39" t="s">
        <v>36</v>
      </c>
      <c r="C39" t="s">
        <v>239</v>
      </c>
      <c r="D39" t="s">
        <v>240</v>
      </c>
      <c r="E39" t="s">
        <v>196</v>
      </c>
      <c r="F39" t="s">
        <v>241</v>
      </c>
      <c r="G39" t="s">
        <v>239</v>
      </c>
      <c r="H39" t="s">
        <v>242</v>
      </c>
      <c r="I39" t="s">
        <v>243</v>
      </c>
      <c r="J39" t="s">
        <v>20</v>
      </c>
      <c r="K39" t="s">
        <v>16</v>
      </c>
      <c r="L39" t="s">
        <v>16</v>
      </c>
      <c r="N39">
        <v>0.11</v>
      </c>
      <c r="O39">
        <f t="shared" si="0"/>
        <v>20</v>
      </c>
      <c r="P39" t="s">
        <v>338</v>
      </c>
    </row>
    <row r="40" spans="1:16" x14ac:dyDescent="0.25">
      <c r="A40" t="s">
        <v>244</v>
      </c>
      <c r="B40" t="s">
        <v>36</v>
      </c>
      <c r="C40" t="s">
        <v>245</v>
      </c>
      <c r="D40" t="s">
        <v>246</v>
      </c>
      <c r="E40" t="s">
        <v>196</v>
      </c>
      <c r="F40" t="s">
        <v>247</v>
      </c>
      <c r="G40" t="s">
        <v>245</v>
      </c>
      <c r="H40" t="s">
        <v>242</v>
      </c>
      <c r="I40" t="s">
        <v>248</v>
      </c>
      <c r="J40" t="s">
        <v>20</v>
      </c>
      <c r="K40" t="s">
        <v>16</v>
      </c>
      <c r="L40" t="s">
        <v>16</v>
      </c>
      <c r="N40">
        <v>0.1</v>
      </c>
      <c r="O40">
        <f t="shared" si="0"/>
        <v>20</v>
      </c>
      <c r="P40" t="s">
        <v>338</v>
      </c>
    </row>
    <row r="41" spans="1:16" x14ac:dyDescent="0.25">
      <c r="A41" t="s">
        <v>249</v>
      </c>
      <c r="B41" t="s">
        <v>23</v>
      </c>
      <c r="C41" t="s">
        <v>250</v>
      </c>
      <c r="D41" t="s">
        <v>251</v>
      </c>
      <c r="E41" t="s">
        <v>252</v>
      </c>
      <c r="F41" t="s">
        <v>253</v>
      </c>
      <c r="G41" t="s">
        <v>250</v>
      </c>
      <c r="H41" t="s">
        <v>242</v>
      </c>
      <c r="I41" t="s">
        <v>254</v>
      </c>
      <c r="J41" t="s">
        <v>20</v>
      </c>
      <c r="K41" t="s">
        <v>16</v>
      </c>
      <c r="L41" t="s">
        <v>16</v>
      </c>
      <c r="N41">
        <v>0.18</v>
      </c>
      <c r="O41">
        <f t="shared" si="0"/>
        <v>10</v>
      </c>
      <c r="P41" t="s">
        <v>338</v>
      </c>
    </row>
    <row r="42" spans="1:16" x14ac:dyDescent="0.25">
      <c r="A42" t="s">
        <v>255</v>
      </c>
      <c r="B42" t="s">
        <v>12</v>
      </c>
      <c r="C42" t="s">
        <v>256</v>
      </c>
      <c r="D42" t="s">
        <v>257</v>
      </c>
      <c r="E42" t="s">
        <v>196</v>
      </c>
      <c r="F42" t="s">
        <v>258</v>
      </c>
      <c r="G42" t="s">
        <v>256</v>
      </c>
      <c r="H42" t="s">
        <v>242</v>
      </c>
      <c r="I42" t="s">
        <v>259</v>
      </c>
      <c r="J42" t="s">
        <v>20</v>
      </c>
      <c r="K42" t="s">
        <v>16</v>
      </c>
      <c r="L42" t="s">
        <v>16</v>
      </c>
      <c r="N42">
        <v>0.11</v>
      </c>
      <c r="O42">
        <f t="shared" si="0"/>
        <v>5</v>
      </c>
      <c r="P42" t="s">
        <v>338</v>
      </c>
    </row>
    <row r="43" spans="1:16" ht="23.25" x14ac:dyDescent="0.35">
      <c r="A43" t="s">
        <v>260</v>
      </c>
      <c r="B43" t="s">
        <v>12</v>
      </c>
      <c r="C43" t="s">
        <v>261</v>
      </c>
      <c r="D43" t="s">
        <v>262</v>
      </c>
      <c r="E43" t="s">
        <v>263</v>
      </c>
      <c r="F43" t="s">
        <v>16</v>
      </c>
      <c r="G43" t="s">
        <v>343</v>
      </c>
      <c r="H43" t="s">
        <v>264</v>
      </c>
      <c r="I43" s="3" t="s">
        <v>344</v>
      </c>
      <c r="J43" t="s">
        <v>342</v>
      </c>
      <c r="L43" t="s">
        <v>16</v>
      </c>
      <c r="N43">
        <v>2.8</v>
      </c>
      <c r="O43">
        <f t="shared" si="0"/>
        <v>5</v>
      </c>
      <c r="P43" s="5" t="s">
        <v>345</v>
      </c>
    </row>
    <row r="44" spans="1:16" x14ac:dyDescent="0.25">
      <c r="A44" t="s">
        <v>265</v>
      </c>
      <c r="B44" t="s">
        <v>12</v>
      </c>
      <c r="C44" t="s">
        <v>266</v>
      </c>
      <c r="D44" t="s">
        <v>267</v>
      </c>
      <c r="E44" t="s">
        <v>268</v>
      </c>
      <c r="F44" t="s">
        <v>16</v>
      </c>
      <c r="G44" t="s">
        <v>266</v>
      </c>
      <c r="H44" t="s">
        <v>269</v>
      </c>
      <c r="I44" t="s">
        <v>270</v>
      </c>
      <c r="J44" t="s">
        <v>20</v>
      </c>
      <c r="K44" t="s">
        <v>16</v>
      </c>
      <c r="L44" t="s">
        <v>16</v>
      </c>
      <c r="N44">
        <v>0.81</v>
      </c>
      <c r="O44">
        <f t="shared" si="0"/>
        <v>5</v>
      </c>
    </row>
    <row r="45" spans="1:16" x14ac:dyDescent="0.25">
      <c r="A45" t="s">
        <v>271</v>
      </c>
      <c r="B45" t="s">
        <v>12</v>
      </c>
      <c r="C45" t="s">
        <v>272</v>
      </c>
      <c r="D45" t="s">
        <v>273</v>
      </c>
      <c r="E45" t="s">
        <v>274</v>
      </c>
      <c r="F45" t="s">
        <v>16</v>
      </c>
      <c r="G45" t="s">
        <v>272</v>
      </c>
      <c r="H45" t="s">
        <v>275</v>
      </c>
      <c r="I45" t="s">
        <v>347</v>
      </c>
      <c r="J45" t="s">
        <v>346</v>
      </c>
      <c r="K45" t="s">
        <v>276</v>
      </c>
      <c r="L45" t="s">
        <v>16</v>
      </c>
      <c r="N45">
        <v>7.1</v>
      </c>
      <c r="O45">
        <f t="shared" si="0"/>
        <v>5</v>
      </c>
    </row>
    <row r="46" spans="1:16" x14ac:dyDescent="0.25">
      <c r="A46" t="s">
        <v>277</v>
      </c>
      <c r="B46" t="s">
        <v>12</v>
      </c>
      <c r="C46" t="s">
        <v>278</v>
      </c>
      <c r="D46" t="s">
        <v>279</v>
      </c>
      <c r="E46" t="s">
        <v>280</v>
      </c>
      <c r="F46" t="s">
        <v>16</v>
      </c>
      <c r="G46" t="s">
        <v>278</v>
      </c>
      <c r="H46" t="s">
        <v>281</v>
      </c>
      <c r="I46" t="s">
        <v>348</v>
      </c>
      <c r="J46" t="s">
        <v>342</v>
      </c>
      <c r="L46" t="s">
        <v>16</v>
      </c>
      <c r="N46">
        <v>2.82</v>
      </c>
      <c r="O46">
        <f t="shared" si="0"/>
        <v>5</v>
      </c>
    </row>
    <row r="47" spans="1:16" x14ac:dyDescent="0.25">
      <c r="A47" t="s">
        <v>282</v>
      </c>
      <c r="B47" t="s">
        <v>12</v>
      </c>
      <c r="C47" t="s">
        <v>283</v>
      </c>
      <c r="D47" t="s">
        <v>284</v>
      </c>
      <c r="E47" t="s">
        <v>285</v>
      </c>
      <c r="F47" t="s">
        <v>286</v>
      </c>
      <c r="G47" t="s">
        <v>283</v>
      </c>
      <c r="H47" t="s">
        <v>287</v>
      </c>
      <c r="I47" t="s">
        <v>288</v>
      </c>
      <c r="J47" t="s">
        <v>20</v>
      </c>
      <c r="K47" t="s">
        <v>289</v>
      </c>
      <c r="L47" t="s">
        <v>290</v>
      </c>
      <c r="M47">
        <f>K47*B47</f>
        <v>1.7994000000000001</v>
      </c>
      <c r="N47">
        <f t="shared" si="1"/>
        <v>8.9969999999999999</v>
      </c>
      <c r="O47">
        <f t="shared" si="0"/>
        <v>5</v>
      </c>
    </row>
    <row r="48" spans="1:16" x14ac:dyDescent="0.25">
      <c r="A48" t="s">
        <v>291</v>
      </c>
      <c r="B48" t="s">
        <v>12</v>
      </c>
      <c r="C48" t="s">
        <v>292</v>
      </c>
      <c r="D48" t="s">
        <v>293</v>
      </c>
      <c r="E48" t="s">
        <v>294</v>
      </c>
      <c r="F48" t="s">
        <v>16</v>
      </c>
      <c r="G48" t="s">
        <v>292</v>
      </c>
      <c r="H48" t="s">
        <v>287</v>
      </c>
      <c r="I48" t="s">
        <v>295</v>
      </c>
      <c r="J48" t="s">
        <v>20</v>
      </c>
      <c r="K48" t="s">
        <v>296</v>
      </c>
      <c r="L48" t="s">
        <v>297</v>
      </c>
      <c r="M48">
        <f>K48*B48</f>
        <v>2.1844000000000001</v>
      </c>
      <c r="N48">
        <f t="shared" si="1"/>
        <v>10.922000000000001</v>
      </c>
      <c r="O48">
        <f t="shared" si="0"/>
        <v>5</v>
      </c>
    </row>
    <row r="49" spans="1:15" x14ac:dyDescent="0.25">
      <c r="A49" t="s">
        <v>298</v>
      </c>
      <c r="B49" t="s">
        <v>12</v>
      </c>
      <c r="C49" t="s">
        <v>299</v>
      </c>
      <c r="D49" t="s">
        <v>300</v>
      </c>
      <c r="E49" t="s">
        <v>301</v>
      </c>
      <c r="F49" t="s">
        <v>16</v>
      </c>
      <c r="G49" t="s">
        <v>299</v>
      </c>
      <c r="H49" t="s">
        <v>287</v>
      </c>
      <c r="I49" t="s">
        <v>302</v>
      </c>
      <c r="J49" t="s">
        <v>20</v>
      </c>
      <c r="K49" t="s">
        <v>303</v>
      </c>
      <c r="L49" t="s">
        <v>304</v>
      </c>
      <c r="M49">
        <f>K49*B49</f>
        <v>0.26889999999999997</v>
      </c>
      <c r="N49">
        <f t="shared" si="1"/>
        <v>1.3444999999999998</v>
      </c>
      <c r="O49">
        <f t="shared" si="0"/>
        <v>5</v>
      </c>
    </row>
    <row r="50" spans="1:15" x14ac:dyDescent="0.25">
      <c r="A50" t="s">
        <v>305</v>
      </c>
      <c r="B50" t="s">
        <v>12</v>
      </c>
      <c r="C50" t="s">
        <v>306</v>
      </c>
      <c r="D50" t="s">
        <v>307</v>
      </c>
      <c r="E50" t="s">
        <v>308</v>
      </c>
      <c r="F50" t="s">
        <v>16</v>
      </c>
      <c r="G50" t="s">
        <v>306</v>
      </c>
      <c r="H50" t="s">
        <v>287</v>
      </c>
      <c r="I50" t="s">
        <v>309</v>
      </c>
      <c r="J50" t="s">
        <v>20</v>
      </c>
      <c r="K50" t="s">
        <v>310</v>
      </c>
      <c r="L50" t="s">
        <v>311</v>
      </c>
      <c r="M50">
        <f>K50*B50</f>
        <v>0.28610000000000002</v>
      </c>
      <c r="N50">
        <f t="shared" si="1"/>
        <v>1.4305000000000001</v>
      </c>
      <c r="O50">
        <f t="shared" si="0"/>
        <v>5</v>
      </c>
    </row>
    <row r="51" spans="1:15" x14ac:dyDescent="0.25">
      <c r="A51" t="s">
        <v>312</v>
      </c>
      <c r="B51" t="s">
        <v>12</v>
      </c>
      <c r="C51" t="s">
        <v>313</v>
      </c>
      <c r="D51" t="s">
        <v>314</v>
      </c>
      <c r="E51" t="s">
        <v>315</v>
      </c>
      <c r="F51" t="s">
        <v>16</v>
      </c>
      <c r="G51" t="s">
        <v>313</v>
      </c>
      <c r="H51" t="s">
        <v>316</v>
      </c>
      <c r="I51" t="s">
        <v>317</v>
      </c>
      <c r="J51" t="s">
        <v>20</v>
      </c>
      <c r="K51" t="s">
        <v>318</v>
      </c>
      <c r="L51" t="s">
        <v>319</v>
      </c>
      <c r="M51">
        <f>K51*B51</f>
        <v>2.1351</v>
      </c>
      <c r="N51">
        <f t="shared" si="1"/>
        <v>10.6755</v>
      </c>
      <c r="O51">
        <f t="shared" si="0"/>
        <v>5</v>
      </c>
    </row>
    <row r="52" spans="1:15" x14ac:dyDescent="0.25">
      <c r="A52" t="s">
        <v>320</v>
      </c>
      <c r="B52" t="s">
        <v>12</v>
      </c>
      <c r="C52" t="s">
        <v>321</v>
      </c>
      <c r="D52" t="s">
        <v>322</v>
      </c>
      <c r="E52" t="s">
        <v>323</v>
      </c>
      <c r="F52" t="s">
        <v>16</v>
      </c>
      <c r="G52" t="s">
        <v>321</v>
      </c>
      <c r="H52" t="s">
        <v>287</v>
      </c>
      <c r="I52" t="s">
        <v>324</v>
      </c>
      <c r="J52" t="s">
        <v>20</v>
      </c>
      <c r="K52">
        <v>3.39</v>
      </c>
      <c r="L52">
        <v>3337</v>
      </c>
      <c r="M52">
        <f>K52*B52</f>
        <v>3.39</v>
      </c>
      <c r="N52">
        <f t="shared" si="1"/>
        <v>16.95</v>
      </c>
      <c r="O52">
        <f t="shared" si="0"/>
        <v>5</v>
      </c>
    </row>
    <row r="53" spans="1:15" x14ac:dyDescent="0.25">
      <c r="A53" t="s">
        <v>325</v>
      </c>
      <c r="B53" t="s">
        <v>12</v>
      </c>
      <c r="C53" t="s">
        <v>326</v>
      </c>
      <c r="D53" t="s">
        <v>327</v>
      </c>
      <c r="E53" t="s">
        <v>328</v>
      </c>
      <c r="F53" t="s">
        <v>16</v>
      </c>
      <c r="G53" t="s">
        <v>326</v>
      </c>
      <c r="H53" t="s">
        <v>329</v>
      </c>
      <c r="I53" t="s">
        <v>330</v>
      </c>
      <c r="J53" t="s">
        <v>20</v>
      </c>
      <c r="K53" t="s">
        <v>331</v>
      </c>
      <c r="L53" t="s">
        <v>332</v>
      </c>
      <c r="M53">
        <f>K53*B53</f>
        <v>0.40260000000000001</v>
      </c>
      <c r="N53">
        <f t="shared" si="1"/>
        <v>2.0129999999999999</v>
      </c>
      <c r="O53">
        <f t="shared" si="0"/>
        <v>5</v>
      </c>
    </row>
    <row r="54" spans="1:15" x14ac:dyDescent="0.25">
      <c r="A54" t="s">
        <v>16</v>
      </c>
      <c r="M54" s="2" t="s">
        <v>349</v>
      </c>
      <c r="N54" s="2">
        <f>SUM(N2:N53)</f>
        <v>143.95999999999998</v>
      </c>
    </row>
  </sheetData>
  <hyperlinks>
    <hyperlink ref="I43" r:id="rId1" xr:uid="{5AD3A505-730E-4BED-8CA3-11813AF28C87}"/>
  </hyperlinks>
  <printOptions gridLines="1"/>
  <pageMargins left="0.7" right="0.7" top="0.75" bottom="0.75" header="0.3" footer="0.3"/>
  <pageSetup orientation="portrait" horizontalDpi="4294967295" verticalDpi="4294967295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BOM_Main_Main_PCB_2023-05-30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2023-05-30T17:02:53Z</dcterms:created>
  <dcterms:modified xsi:type="dcterms:W3CDTF">2023-05-30T17:58:44Z</dcterms:modified>
</cp:coreProperties>
</file>